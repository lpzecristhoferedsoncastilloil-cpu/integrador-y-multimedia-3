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\OneDrive\Escritorio\"/>
    </mc:Choice>
  </mc:AlternateContent>
  <bookViews>
    <workbookView xWindow="0" yWindow="0" windowWidth="20490" windowHeight="7530" activeTab="1"/>
  </bookViews>
  <sheets>
    <sheet name="Apertura " sheetId="1" r:id="rId1"/>
    <sheet name="PRESUPUESTOS DE BIENE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5" i="2"/>
  <c r="D23" i="1"/>
  <c r="M20" i="1"/>
  <c r="M8" i="1"/>
  <c r="M7" i="1"/>
  <c r="E7" i="1"/>
  <c r="E8" i="1"/>
  <c r="E9" i="1"/>
  <c r="E11" i="1"/>
  <c r="E12" i="1"/>
  <c r="E13" i="1"/>
  <c r="E14" i="1"/>
  <c r="E6" i="1"/>
  <c r="E16" i="1" l="1"/>
</calcChain>
</file>

<file path=xl/sharedStrings.xml><?xml version="1.0" encoding="utf-8"?>
<sst xmlns="http://schemas.openxmlformats.org/spreadsheetml/2006/main" count="125" uniqueCount="65">
  <si>
    <t xml:space="preserve">APERTURA DE LA EMPRESA </t>
  </si>
  <si>
    <t>N°</t>
  </si>
  <si>
    <t>item</t>
  </si>
  <si>
    <t>cantidad</t>
  </si>
  <si>
    <t>costo unitario</t>
  </si>
  <si>
    <t>costo total</t>
  </si>
  <si>
    <t xml:space="preserve">inversión </t>
  </si>
  <si>
    <t xml:space="preserve">observación </t>
  </si>
  <si>
    <t xml:space="preserve">ALQUILER </t>
  </si>
  <si>
    <t xml:space="preserve">GARANTIA DEL ALQUILER </t>
  </si>
  <si>
    <t>1 MES</t>
  </si>
  <si>
    <t xml:space="preserve">INVERSIÓN PROPIA </t>
  </si>
  <si>
    <t>MENSUAL</t>
  </si>
  <si>
    <t>ACTIVO DE INVERSIÓN</t>
  </si>
  <si>
    <t>ESCRITORIO</t>
  </si>
  <si>
    <t>SILLAS</t>
  </si>
  <si>
    <t xml:space="preserve">LAPTOP COMPUTADORA </t>
  </si>
  <si>
    <t xml:space="preserve">IMPRESORA </t>
  </si>
  <si>
    <t xml:space="preserve">BANNER </t>
  </si>
  <si>
    <t xml:space="preserve">AFICHES O VOLANTES </t>
  </si>
  <si>
    <t xml:space="preserve">RJ45 CAJA </t>
  </si>
  <si>
    <t>DVR</t>
  </si>
  <si>
    <t xml:space="preserve">CAMARAS WIFI </t>
  </si>
  <si>
    <t>PRESTAMO</t>
  </si>
  <si>
    <t>APORTE VOLUNTARIO</t>
  </si>
  <si>
    <t>ACTIVO FIJO</t>
  </si>
  <si>
    <t xml:space="preserve">ACTIVO TRIMESTRAL </t>
  </si>
  <si>
    <t>A REQUERIMIENTO</t>
  </si>
  <si>
    <t>TOTAL</t>
  </si>
  <si>
    <t>APERTURA ADMINISTRATIVA Y LEGAL</t>
  </si>
  <si>
    <t>NIT</t>
  </si>
  <si>
    <t>INVERSIÓN PROPIA</t>
  </si>
  <si>
    <t>SEPREC REGISTRO POR S.R.L</t>
  </si>
  <si>
    <t>LICENCIA DE FUNCIONAMIENTO GAMLP</t>
  </si>
  <si>
    <t>ACTIVO ANUAL</t>
  </si>
  <si>
    <t xml:space="preserve">GASTOS ADMINISTRATIVOS </t>
  </si>
  <si>
    <t>APERTURA FUNCIONAMIENTO</t>
  </si>
  <si>
    <t>AGUA</t>
  </si>
  <si>
    <t>LUZ</t>
  </si>
  <si>
    <t xml:space="preserve">INTERNET </t>
  </si>
  <si>
    <t>MANTENIMIENTO</t>
  </si>
  <si>
    <t>SEGURIDAD</t>
  </si>
  <si>
    <t>PUBLICIDAD FACEBOOK</t>
  </si>
  <si>
    <t>OTROS (GASTOS VARIOS)</t>
  </si>
  <si>
    <t>INSTALACIÓN DEL INTERNET</t>
  </si>
  <si>
    <t>propia</t>
  </si>
  <si>
    <t>MENSUAL/ A SOLICITUD</t>
  </si>
  <si>
    <t>ACTIVO PENDIENTE</t>
  </si>
  <si>
    <t>APERTURA DE LA EMPRESA</t>
  </si>
  <si>
    <t>APERTURA LEGAL</t>
  </si>
  <si>
    <t>COSTO TOTAL</t>
  </si>
  <si>
    <t xml:space="preserve">BIENES DE LA INSTITUCIÓN </t>
  </si>
  <si>
    <t xml:space="preserve">HOJAS TAMAÑO CARTA </t>
  </si>
  <si>
    <t>TINTA EPSON B455</t>
  </si>
  <si>
    <t xml:space="preserve">MARCADORES </t>
  </si>
  <si>
    <t xml:space="preserve">CONECTORES </t>
  </si>
  <si>
    <t xml:space="preserve">CUADERNOS </t>
  </si>
  <si>
    <t>PROPIA</t>
  </si>
  <si>
    <t>BIMESTRAL</t>
  </si>
  <si>
    <t>SEMESTRAL</t>
  </si>
  <si>
    <t xml:space="preserve">PROPIA </t>
  </si>
  <si>
    <t xml:space="preserve">TRIMESTRALES </t>
  </si>
  <si>
    <t>PROPIO</t>
  </si>
  <si>
    <t>MENSUALMENTE</t>
  </si>
  <si>
    <t>ANUALMENTE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</si>
</sst>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0" borderId="2" xfId="0" applyFill="1" applyBorder="1" applyAlignment="1">
      <alignment wrapText="1"/>
    </xf>
    <xf numFmtId="0" fontId="0" fillId="0" borderId="0" xfId="0" applyBorder="1"/>
    <xf numFmtId="0" fontId="0" fillId="5" borderId="0" xfId="0" applyFill="1" applyBorder="1"/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3"/>
  <sheetViews>
    <sheetView zoomScale="150" zoomScaleNormal="150" workbookViewId="0">
      <selection activeCell="A3" sqref="A3:G3"/>
    </sheetView>
  </sheetViews>
  <sheetFormatPr baseColWidth="10" defaultRowHeight="15" x14ac:dyDescent="0.25"/>
  <cols>
    <col min="1" max="1" width="5.7109375" customWidth="1"/>
    <col min="2" max="2" width="22.85546875" customWidth="1"/>
    <col min="4" max="4" width="14" customWidth="1"/>
    <col min="6" max="6" width="17.85546875" customWidth="1"/>
    <col min="7" max="7" width="15.5703125" customWidth="1"/>
    <col min="9" max="9" width="5.28515625" customWidth="1"/>
    <col min="10" max="10" width="16.28515625" customWidth="1"/>
    <col min="11" max="11" width="8" customWidth="1"/>
    <col min="12" max="12" width="13.140625" customWidth="1"/>
    <col min="14" max="14" width="16.42578125" customWidth="1"/>
    <col min="15" max="15" width="13.5703125" customWidth="1"/>
  </cols>
  <sheetData>
    <row r="2" spans="1:15" x14ac:dyDescent="0.25">
      <c r="A2" s="3" t="s">
        <v>0</v>
      </c>
      <c r="B2" s="3"/>
      <c r="C2" s="3"/>
      <c r="D2" s="3"/>
      <c r="E2" s="3"/>
      <c r="F2" s="3"/>
      <c r="G2" s="3"/>
      <c r="H2" s="2"/>
      <c r="I2" s="2"/>
      <c r="J2" s="1" t="s">
        <v>29</v>
      </c>
      <c r="K2" s="1"/>
      <c r="L2" s="1"/>
      <c r="M2" s="1"/>
      <c r="N2" s="1"/>
    </row>
    <row r="3" spans="1:1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I3" s="4" t="s">
        <v>1</v>
      </c>
      <c r="J3" s="4" t="s">
        <v>2</v>
      </c>
      <c r="K3" s="4" t="s">
        <v>3</v>
      </c>
      <c r="L3" s="4" t="s">
        <v>4</v>
      </c>
      <c r="M3" s="4" t="s">
        <v>5</v>
      </c>
      <c r="N3" s="4" t="s">
        <v>6</v>
      </c>
      <c r="O3" s="4" t="s">
        <v>7</v>
      </c>
    </row>
    <row r="4" spans="1:15" ht="30" x14ac:dyDescent="0.25">
      <c r="A4" s="4">
        <v>1</v>
      </c>
      <c r="B4" s="4" t="s">
        <v>8</v>
      </c>
      <c r="C4" s="4" t="s">
        <v>10</v>
      </c>
      <c r="D4" s="4">
        <v>1500</v>
      </c>
      <c r="E4" s="4">
        <v>1500</v>
      </c>
      <c r="F4" s="4" t="s">
        <v>11</v>
      </c>
      <c r="G4" s="4" t="s">
        <v>12</v>
      </c>
      <c r="I4" s="4">
        <v>1</v>
      </c>
      <c r="J4" s="4" t="s">
        <v>30</v>
      </c>
      <c r="K4" s="4">
        <v>1</v>
      </c>
      <c r="L4" s="4">
        <v>0</v>
      </c>
      <c r="M4" s="4">
        <v>0</v>
      </c>
      <c r="N4" s="5" t="s">
        <v>31</v>
      </c>
      <c r="O4" s="4" t="s">
        <v>25</v>
      </c>
    </row>
    <row r="5" spans="1:15" ht="45" x14ac:dyDescent="0.25">
      <c r="A5" s="4">
        <v>2</v>
      </c>
      <c r="B5" s="4" t="s">
        <v>9</v>
      </c>
      <c r="C5" s="4">
        <v>1</v>
      </c>
      <c r="D5" s="4">
        <v>3000</v>
      </c>
      <c r="E5" s="4">
        <v>3000</v>
      </c>
      <c r="F5" s="4" t="s">
        <v>11</v>
      </c>
      <c r="G5" s="5" t="s">
        <v>13</v>
      </c>
      <c r="I5" s="4">
        <v>2</v>
      </c>
      <c r="J5" s="5" t="s">
        <v>32</v>
      </c>
      <c r="K5" s="4">
        <v>1</v>
      </c>
      <c r="L5" s="4">
        <v>1100</v>
      </c>
      <c r="M5" s="4">
        <v>1100</v>
      </c>
      <c r="N5" s="5" t="s">
        <v>31</v>
      </c>
      <c r="O5" s="4" t="s">
        <v>25</v>
      </c>
    </row>
    <row r="6" spans="1:15" ht="53.25" customHeight="1" x14ac:dyDescent="0.25">
      <c r="A6" s="4">
        <v>3</v>
      </c>
      <c r="B6" s="4" t="s">
        <v>14</v>
      </c>
      <c r="C6" s="4">
        <v>1</v>
      </c>
      <c r="D6" s="4">
        <v>500</v>
      </c>
      <c r="E6" s="4">
        <f>D6*C6</f>
        <v>500</v>
      </c>
      <c r="F6" s="4" t="s">
        <v>11</v>
      </c>
      <c r="G6" s="4" t="s">
        <v>25</v>
      </c>
      <c r="I6" s="4">
        <v>3</v>
      </c>
      <c r="J6" s="5" t="s">
        <v>33</v>
      </c>
      <c r="K6" s="4">
        <v>1</v>
      </c>
      <c r="L6" s="4">
        <v>80</v>
      </c>
      <c r="M6" s="4">
        <v>80</v>
      </c>
      <c r="N6" s="5" t="s">
        <v>31</v>
      </c>
      <c r="O6" s="7" t="s">
        <v>34</v>
      </c>
    </row>
    <row r="7" spans="1:15" ht="45" x14ac:dyDescent="0.25">
      <c r="A7" s="4">
        <v>4</v>
      </c>
      <c r="B7" s="4" t="s">
        <v>15</v>
      </c>
      <c r="C7" s="4">
        <v>6</v>
      </c>
      <c r="D7" s="4">
        <v>100</v>
      </c>
      <c r="E7" s="4">
        <f t="shared" ref="E7:E14" si="0">D7*C7</f>
        <v>600</v>
      </c>
      <c r="F7" s="4" t="s">
        <v>11</v>
      </c>
      <c r="G7" s="4" t="s">
        <v>25</v>
      </c>
      <c r="I7" s="9">
        <v>4</v>
      </c>
      <c r="J7" s="5" t="s">
        <v>35</v>
      </c>
      <c r="K7" s="9">
        <v>3</v>
      </c>
      <c r="L7" s="9">
        <v>40</v>
      </c>
      <c r="M7" s="4">
        <f>L7*K7</f>
        <v>120</v>
      </c>
      <c r="N7" s="5" t="s">
        <v>31</v>
      </c>
      <c r="O7" s="4" t="s">
        <v>25</v>
      </c>
    </row>
    <row r="8" spans="1:15" x14ac:dyDescent="0.25">
      <c r="A8" s="4">
        <v>5</v>
      </c>
      <c r="B8" s="4" t="s">
        <v>16</v>
      </c>
      <c r="C8" s="4">
        <v>1</v>
      </c>
      <c r="D8" s="4">
        <v>0</v>
      </c>
      <c r="E8" s="4">
        <f t="shared" si="0"/>
        <v>0</v>
      </c>
      <c r="F8" s="4" t="s">
        <v>23</v>
      </c>
      <c r="G8" s="4" t="s">
        <v>25</v>
      </c>
      <c r="J8" s="10" t="s">
        <v>28</v>
      </c>
      <c r="M8">
        <f>SUM(M4:M7)</f>
        <v>1300</v>
      </c>
    </row>
    <row r="9" spans="1:15" x14ac:dyDescent="0.25">
      <c r="A9" s="4">
        <v>6</v>
      </c>
      <c r="B9" s="4" t="s">
        <v>17</v>
      </c>
      <c r="C9" s="4">
        <v>1</v>
      </c>
      <c r="D9" s="4">
        <v>1000</v>
      </c>
      <c r="E9" s="4">
        <f t="shared" si="0"/>
        <v>1000</v>
      </c>
      <c r="F9" s="4" t="s">
        <v>11</v>
      </c>
      <c r="G9" s="4" t="s">
        <v>25</v>
      </c>
    </row>
    <row r="10" spans="1:15" x14ac:dyDescent="0.25">
      <c r="A10" s="4">
        <v>7</v>
      </c>
      <c r="B10" s="4" t="s">
        <v>18</v>
      </c>
      <c r="C10" s="4">
        <v>2</v>
      </c>
      <c r="D10" s="4">
        <v>130</v>
      </c>
      <c r="E10" s="4">
        <v>0</v>
      </c>
      <c r="F10" s="4" t="s">
        <v>24</v>
      </c>
      <c r="G10" s="4" t="s">
        <v>25</v>
      </c>
      <c r="J10" s="1" t="s">
        <v>36</v>
      </c>
      <c r="K10" s="1"/>
      <c r="L10" s="1"/>
      <c r="M10" s="1"/>
      <c r="N10" s="1"/>
    </row>
    <row r="11" spans="1:15" x14ac:dyDescent="0.25">
      <c r="A11" s="4">
        <v>8</v>
      </c>
      <c r="B11" s="4" t="s">
        <v>19</v>
      </c>
      <c r="C11" s="4">
        <v>500</v>
      </c>
      <c r="D11" s="4">
        <v>0.4</v>
      </c>
      <c r="E11" s="4">
        <f t="shared" si="0"/>
        <v>200</v>
      </c>
      <c r="F11" s="4" t="s">
        <v>11</v>
      </c>
      <c r="G11" s="6" t="s">
        <v>26</v>
      </c>
      <c r="I11" s="4" t="s">
        <v>1</v>
      </c>
      <c r="J11" s="4" t="s">
        <v>2</v>
      </c>
      <c r="K11" s="4" t="s">
        <v>3</v>
      </c>
      <c r="L11" s="4" t="s">
        <v>4</v>
      </c>
      <c r="M11" s="4" t="s">
        <v>5</v>
      </c>
      <c r="N11" s="4" t="s">
        <v>6</v>
      </c>
      <c r="O11" s="4" t="s">
        <v>7</v>
      </c>
    </row>
    <row r="12" spans="1:15" x14ac:dyDescent="0.25">
      <c r="A12" s="4">
        <v>9</v>
      </c>
      <c r="B12" s="4" t="s">
        <v>22</v>
      </c>
      <c r="C12" s="4">
        <v>5</v>
      </c>
      <c r="D12" s="4">
        <v>50</v>
      </c>
      <c r="E12" s="4">
        <f t="shared" si="0"/>
        <v>250</v>
      </c>
      <c r="F12" s="4" t="s">
        <v>11</v>
      </c>
      <c r="G12" s="8" t="s">
        <v>27</v>
      </c>
      <c r="I12" s="4">
        <v>1</v>
      </c>
      <c r="J12" s="4" t="s">
        <v>37</v>
      </c>
      <c r="K12" s="4">
        <v>0</v>
      </c>
      <c r="L12" s="4">
        <v>40</v>
      </c>
      <c r="M12" s="4">
        <v>40</v>
      </c>
      <c r="N12" s="4" t="s">
        <v>45</v>
      </c>
      <c r="O12" s="4" t="s">
        <v>12</v>
      </c>
    </row>
    <row r="13" spans="1:15" x14ac:dyDescent="0.25">
      <c r="A13" s="4">
        <v>10</v>
      </c>
      <c r="B13" s="4" t="s">
        <v>20</v>
      </c>
      <c r="C13" s="4">
        <v>1</v>
      </c>
      <c r="D13" s="4">
        <v>320</v>
      </c>
      <c r="E13" s="4">
        <f t="shared" si="0"/>
        <v>320</v>
      </c>
      <c r="F13" s="4" t="s">
        <v>11</v>
      </c>
      <c r="G13" s="8" t="s">
        <v>27</v>
      </c>
      <c r="I13" s="4">
        <v>2</v>
      </c>
      <c r="J13" s="4" t="s">
        <v>38</v>
      </c>
      <c r="K13" s="4">
        <v>0</v>
      </c>
      <c r="L13" s="4">
        <v>50</v>
      </c>
      <c r="M13" s="4">
        <v>50</v>
      </c>
      <c r="N13" s="4" t="s">
        <v>45</v>
      </c>
      <c r="O13" s="4" t="s">
        <v>12</v>
      </c>
    </row>
    <row r="14" spans="1:15" x14ac:dyDescent="0.25">
      <c r="A14" s="4">
        <v>11</v>
      </c>
      <c r="B14" s="4" t="s">
        <v>21</v>
      </c>
      <c r="C14" s="4">
        <v>1</v>
      </c>
      <c r="D14" s="4">
        <v>400</v>
      </c>
      <c r="E14" s="4">
        <f t="shared" si="0"/>
        <v>400</v>
      </c>
      <c r="F14" s="4" t="s">
        <v>11</v>
      </c>
      <c r="G14" s="8" t="s">
        <v>27</v>
      </c>
      <c r="I14" s="4">
        <v>3</v>
      </c>
      <c r="J14" s="4" t="s">
        <v>39</v>
      </c>
      <c r="K14" s="4">
        <v>1</v>
      </c>
      <c r="L14" s="4">
        <v>160</v>
      </c>
      <c r="M14" s="4">
        <v>160</v>
      </c>
      <c r="N14" s="4" t="s">
        <v>45</v>
      </c>
      <c r="O14" s="4" t="s">
        <v>12</v>
      </c>
    </row>
    <row r="15" spans="1:15" ht="30" x14ac:dyDescent="0.25">
      <c r="A15" s="11"/>
      <c r="B15" s="4"/>
      <c r="C15" s="4"/>
      <c r="D15" s="4"/>
      <c r="E15" s="4"/>
      <c r="F15" s="11"/>
      <c r="G15" s="12"/>
      <c r="I15" s="4">
        <v>4</v>
      </c>
      <c r="J15" s="5" t="s">
        <v>44</v>
      </c>
      <c r="K15" s="4">
        <v>1</v>
      </c>
      <c r="L15" s="4">
        <v>269</v>
      </c>
      <c r="M15" s="4">
        <v>269</v>
      </c>
      <c r="N15" s="4" t="s">
        <v>45</v>
      </c>
      <c r="O15" s="4" t="s">
        <v>25</v>
      </c>
    </row>
    <row r="16" spans="1:15" x14ac:dyDescent="0.25">
      <c r="B16" s="9" t="s">
        <v>28</v>
      </c>
      <c r="C16" s="4"/>
      <c r="D16" s="4"/>
      <c r="E16" s="9">
        <f>SUM(E4:E14)</f>
        <v>7770</v>
      </c>
      <c r="I16" s="4">
        <v>4</v>
      </c>
      <c r="J16" s="4" t="s">
        <v>40</v>
      </c>
      <c r="K16" s="4">
        <v>1</v>
      </c>
      <c r="L16" s="4">
        <v>100</v>
      </c>
      <c r="M16" s="4">
        <v>100</v>
      </c>
      <c r="N16" s="4" t="s">
        <v>45</v>
      </c>
      <c r="O16" s="4" t="s">
        <v>12</v>
      </c>
    </row>
    <row r="17" spans="3:15" x14ac:dyDescent="0.25">
      <c r="I17" s="4">
        <v>5</v>
      </c>
      <c r="J17" s="4" t="s">
        <v>41</v>
      </c>
      <c r="K17" s="4">
        <v>1</v>
      </c>
      <c r="L17" s="4">
        <v>50</v>
      </c>
      <c r="M17" s="4">
        <v>50</v>
      </c>
      <c r="N17" s="4" t="s">
        <v>45</v>
      </c>
      <c r="O17" s="4" t="s">
        <v>12</v>
      </c>
    </row>
    <row r="18" spans="3:15" ht="30" x14ac:dyDescent="0.25">
      <c r="I18" s="4">
        <v>6</v>
      </c>
      <c r="J18" s="5" t="s">
        <v>42</v>
      </c>
      <c r="K18" s="4">
        <v>1</v>
      </c>
      <c r="L18" s="4">
        <v>6</v>
      </c>
      <c r="M18" s="4">
        <v>30</v>
      </c>
      <c r="N18" s="4" t="s">
        <v>45</v>
      </c>
      <c r="O18" s="13" t="s">
        <v>46</v>
      </c>
    </row>
    <row r="19" spans="3:15" ht="30" x14ac:dyDescent="0.25">
      <c r="C19" t="s">
        <v>50</v>
      </c>
      <c r="I19" s="4">
        <v>7</v>
      </c>
      <c r="J19" s="5" t="s">
        <v>43</v>
      </c>
      <c r="K19" s="4">
        <v>1</v>
      </c>
      <c r="L19" s="4">
        <v>100</v>
      </c>
      <c r="M19" s="4">
        <v>100</v>
      </c>
      <c r="N19" s="4" t="s">
        <v>45</v>
      </c>
      <c r="O19" s="14" t="s">
        <v>47</v>
      </c>
    </row>
    <row r="20" spans="3:15" ht="45" x14ac:dyDescent="0.25">
      <c r="C20" s="5" t="s">
        <v>48</v>
      </c>
      <c r="D20" s="4">
        <v>8270</v>
      </c>
      <c r="J20" s="5" t="s">
        <v>28</v>
      </c>
      <c r="K20" s="4"/>
      <c r="L20" s="4"/>
      <c r="M20" s="4">
        <f>SUM(M12:M18)</f>
        <v>699</v>
      </c>
    </row>
    <row r="21" spans="3:15" ht="30" x14ac:dyDescent="0.25">
      <c r="C21" s="5" t="s">
        <v>49</v>
      </c>
      <c r="D21" s="4">
        <v>1300</v>
      </c>
    </row>
    <row r="22" spans="3:15" ht="45" x14ac:dyDescent="0.25">
      <c r="C22" s="5" t="s">
        <v>36</v>
      </c>
      <c r="D22" s="4">
        <v>699</v>
      </c>
    </row>
    <row r="23" spans="3:15" x14ac:dyDescent="0.25">
      <c r="C23" s="15" t="s">
        <v>28</v>
      </c>
      <c r="D23" s="4">
        <f>SUM(D20:D22)</f>
        <v>10269</v>
      </c>
    </row>
  </sheetData>
  <mergeCells count="3">
    <mergeCell ref="A2:G2"/>
    <mergeCell ref="J2:N2"/>
    <mergeCell ref="J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abSelected="1" zoomScale="150" zoomScaleNormal="150" workbookViewId="0">
      <selection activeCell="A3" sqref="A3:G8"/>
    </sheetView>
  </sheetViews>
  <sheetFormatPr baseColWidth="10" defaultRowHeight="15" x14ac:dyDescent="0.25"/>
  <cols>
    <col min="1" max="1" width="5.7109375" customWidth="1"/>
    <col min="7" max="7" width="13.7109375" customWidth="1"/>
  </cols>
  <sheetData>
    <row r="2" spans="1:8" x14ac:dyDescent="0.25">
      <c r="B2" s="1" t="s">
        <v>51</v>
      </c>
      <c r="C2" s="1"/>
      <c r="D2" s="1"/>
      <c r="E2" s="1"/>
      <c r="F2" s="1"/>
      <c r="G2" s="1"/>
      <c r="H2" s="1"/>
    </row>
    <row r="3" spans="1:8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8" ht="45" x14ac:dyDescent="0.25">
      <c r="A4" s="4">
        <v>1</v>
      </c>
      <c r="B4" s="5" t="s">
        <v>52</v>
      </c>
      <c r="C4" s="4">
        <v>1</v>
      </c>
      <c r="D4" s="4">
        <v>35</v>
      </c>
      <c r="E4" s="4">
        <v>35</v>
      </c>
      <c r="F4" s="4" t="s">
        <v>57</v>
      </c>
      <c r="G4" s="4" t="s">
        <v>58</v>
      </c>
    </row>
    <row r="5" spans="1:8" ht="45" x14ac:dyDescent="0.25">
      <c r="A5" s="4">
        <v>2</v>
      </c>
      <c r="B5" s="5" t="s">
        <v>53</v>
      </c>
      <c r="C5" s="4">
        <v>4</v>
      </c>
      <c r="D5" s="4">
        <v>110</v>
      </c>
      <c r="E5" s="4">
        <f>C5*D5</f>
        <v>440</v>
      </c>
      <c r="F5" s="4" t="s">
        <v>57</v>
      </c>
      <c r="G5" s="4" t="s">
        <v>59</v>
      </c>
    </row>
    <row r="6" spans="1:8" x14ac:dyDescent="0.25">
      <c r="A6" s="4">
        <v>3</v>
      </c>
      <c r="B6" s="4" t="s">
        <v>54</v>
      </c>
      <c r="C6" s="4">
        <v>10</v>
      </c>
      <c r="D6" s="4">
        <v>3</v>
      </c>
      <c r="E6" s="4">
        <f t="shared" ref="E6:E8" si="0">C6*D6</f>
        <v>30</v>
      </c>
      <c r="F6" s="4" t="s">
        <v>60</v>
      </c>
      <c r="G6" s="4" t="s">
        <v>61</v>
      </c>
    </row>
    <row r="7" spans="1:8" x14ac:dyDescent="0.25">
      <c r="A7" s="4">
        <v>4</v>
      </c>
      <c r="B7" s="4" t="s">
        <v>55</v>
      </c>
      <c r="C7" s="4">
        <v>15</v>
      </c>
      <c r="D7" s="4">
        <v>1</v>
      </c>
      <c r="E7" s="4">
        <f t="shared" si="0"/>
        <v>15</v>
      </c>
      <c r="F7" s="4" t="s">
        <v>62</v>
      </c>
      <c r="G7" s="4" t="s">
        <v>63</v>
      </c>
    </row>
    <row r="8" spans="1:8" x14ac:dyDescent="0.25">
      <c r="A8" s="4">
        <v>5</v>
      </c>
      <c r="B8" s="4" t="s">
        <v>56</v>
      </c>
      <c r="C8" s="4">
        <v>2</v>
      </c>
      <c r="D8" s="4">
        <v>5</v>
      </c>
      <c r="E8" s="4">
        <f t="shared" si="0"/>
        <v>10</v>
      </c>
      <c r="F8" s="4" t="s">
        <v>57</v>
      </c>
      <c r="G8" s="4" t="s">
        <v>64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Apertura </vt:lpstr>
      <vt:lpstr>PRESUPUESTOS DE BIENES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Mompo Siles</dc:creator>
  <cp:lastModifiedBy>Jonathan Mompo Siles</cp:lastModifiedBy>
  <dcterms:created xsi:type="dcterms:W3CDTF">2026-05-20T21:19:19Z</dcterms:created>
  <dcterms:modified xsi:type="dcterms:W3CDTF">2026-05-20T22:32:33Z</dcterms:modified>
</cp:coreProperties>
</file>